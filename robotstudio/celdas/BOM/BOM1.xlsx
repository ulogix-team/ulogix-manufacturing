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Usuario\Downloads\"/>
    </mc:Choice>
  </mc:AlternateContent>
  <xr:revisionPtr revIDLastSave="0" documentId="13_ncr:1_{8951074A-0BBB-4380-A122-330CEED4A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" i="1"/>
</calcChain>
</file>

<file path=xl/sharedStrings.xml><?xml version="1.0" encoding="utf-8"?>
<sst xmlns="http://schemas.openxmlformats.org/spreadsheetml/2006/main" count="228" uniqueCount="166">
  <si>
    <t>CELDA DE PALETIZADO - LÍNEA 1 - LÍNEA 2</t>
  </si>
  <si>
    <t>Item</t>
  </si>
  <si>
    <t>Categoría</t>
  </si>
  <si>
    <t>Elemento</t>
  </si>
  <si>
    <t>Descripción</t>
  </si>
  <si>
    <t>Fabricante</t>
  </si>
  <si>
    <t xml:space="preserve">Referencia </t>
  </si>
  <si>
    <t xml:space="preserve">Especificaciones </t>
  </si>
  <si>
    <t>Cantidad</t>
  </si>
  <si>
    <t>Precio unitario estimado (USD)</t>
  </si>
  <si>
    <t>Precio total estimado (USD)</t>
  </si>
  <si>
    <t>Robótica</t>
  </si>
  <si>
    <t>Servomotor</t>
  </si>
  <si>
    <t>Unidad motora compatible con controlador ABB para eje Z</t>
  </si>
  <si>
    <t>ABB</t>
  </si>
  <si>
    <t>MU 300</t>
  </si>
  <si>
    <t>Torque (Nm): 12 a 3000 rpm
Velocidad nominal (rpm): 5000</t>
  </si>
  <si>
    <t>Unidad motora compatible con controlador ABB para eje X</t>
  </si>
  <si>
    <t>MU 200</t>
  </si>
  <si>
    <t>Torque (Nm): 6 a 2000 rpm
Velocidad nominal (rpm): 5000</t>
  </si>
  <si>
    <t>Controlador</t>
  </si>
  <si>
    <t>Controlador diseñado para robots articulados y ejes externos</t>
  </si>
  <si>
    <t>IRC5</t>
  </si>
  <si>
    <t>Voltaje de alimentación (V): 200-600</t>
  </si>
  <si>
    <t>Reductor</t>
  </si>
  <si>
    <t>Caja reductora de engranajes planetaria para motor MU 200</t>
  </si>
  <si>
    <t>Apex Dynamics</t>
  </si>
  <si>
    <t>AB115-005-S2-P2</t>
  </si>
  <si>
    <t xml:space="preserve">Relación: 5:1                                  Torque de salida (Nm): 330 </t>
  </si>
  <si>
    <t>Eje lineal</t>
  </si>
  <si>
    <t>Módulo compacto con ensamblaje de husillo de bolas 40x10 para eje Z</t>
  </si>
  <si>
    <t>Bosch - Rexroth</t>
  </si>
  <si>
    <t>Rexroth_CKK280_S2200</t>
  </si>
  <si>
    <t>Tamaño: 280                              Carrera máxima: 2200 mm</t>
  </si>
  <si>
    <t>Módulo compacto con transmisión por correa dentada para eje Z</t>
  </si>
  <si>
    <t>Rexroth_CKR280_S4600</t>
  </si>
  <si>
    <t>Tamaño: 280                             Carrera máxima: 4600 mm</t>
  </si>
  <si>
    <t>Acople</t>
  </si>
  <si>
    <t>Acople para el carro del eje X con el carro del eje Z</t>
  </si>
  <si>
    <t>Manufacturado</t>
  </si>
  <si>
    <t>ACP001</t>
  </si>
  <si>
    <t>Material: Acero SAE 1020              Masa: 20 kg</t>
  </si>
  <si>
    <t>Soporte</t>
  </si>
  <si>
    <t xml:space="preserve">Perfil </t>
  </si>
  <si>
    <t>Perfil cuadrado en acero estructural para soporte del gantry</t>
  </si>
  <si>
    <t>SP001</t>
  </si>
  <si>
    <t>Material: Acero SAE 1020              Masa: 200 kg</t>
  </si>
  <si>
    <t>Gripper</t>
  </si>
  <si>
    <t>Gripper neumático</t>
  </si>
  <si>
    <t>Estructura de gripper de 4 mordazas neumáticas</t>
  </si>
  <si>
    <t>GRP001</t>
  </si>
  <si>
    <t>Material: Aluminio 6061- T6            Masa: 40 kg</t>
  </si>
  <si>
    <t>Neumática</t>
  </si>
  <si>
    <t>Cilindro neumático</t>
  </si>
  <si>
    <t>Cilindro perfilado con amortiguación neumática autorregulable</t>
  </si>
  <si>
    <t>Festo</t>
  </si>
  <si>
    <t>DSBC-80-150-PPSA-N3</t>
  </si>
  <si>
    <t>Carrera: 150 mm                               Diámetro de émbolo: 80 mm</t>
  </si>
  <si>
    <t>Válvula de antirretorno</t>
  </si>
  <si>
    <t>Válvula de retención pilotada que mantiene la retracción incluso sin suministro de aire</t>
  </si>
  <si>
    <t>HGL-3/8-QS-8</t>
  </si>
  <si>
    <t>Presión de funcionamiento: 0.5-10 bar  Conexión: G3/8</t>
  </si>
  <si>
    <t>Electroválvula</t>
  </si>
  <si>
    <t>Electroválvula direccional 5/2, biestable</t>
  </si>
  <si>
    <t>VUVS-L30-B52-D-G38-F8-1B2</t>
  </si>
  <si>
    <t>Voltaje de funcionamiento: 24 VDC  Conexión: G3/9</t>
  </si>
  <si>
    <t>Regulador de caudal</t>
  </si>
  <si>
    <t>Función de estrangulación y antirretorno del aire de escape</t>
  </si>
  <si>
    <t>GRLA-3/8-QS-8-D</t>
  </si>
  <si>
    <t>Caudal nominal: 820 l/min</t>
  </si>
  <si>
    <t>Sensor de posición</t>
  </si>
  <si>
    <t>Transmisor de posición adecuado para ranura tipo T</t>
  </si>
  <si>
    <t>SMAT-8M-U-E-2,5-OE</t>
  </si>
  <si>
    <t>Unidad FRL</t>
  </si>
  <si>
    <t>Unidad de filtro y regulador con margen de regulación de presión
0.3 bar - 7 bar</t>
  </si>
  <si>
    <t>MS4-LFR-1/4-D6-E-R-M</t>
  </si>
  <si>
    <t>Conexión neumática: G1/4
Caudal nominal normal: 1800 l/min</t>
  </si>
  <si>
    <t>Transporte</t>
  </si>
  <si>
    <t>Transportador</t>
  </si>
  <si>
    <t>Transportador de rodillos con motor reductor</t>
  </si>
  <si>
    <t>Interroll</t>
  </si>
  <si>
    <t>PM 9710</t>
  </si>
  <si>
    <t>Capacidad de carga (kg): 1500     Voltaje de funcionamiento (V): 400 V</t>
  </si>
  <si>
    <t>Detección</t>
  </si>
  <si>
    <t>Sensor óptico de barrera por reflexión con filtro polarizado</t>
  </si>
  <si>
    <t>Pepper+Fuchs</t>
  </si>
  <si>
    <t>OBR7500-R100-2EP-IO-V31</t>
  </si>
  <si>
    <t>Voltaje de funcionamiento: 24 VDC  Protección IP69K</t>
  </si>
  <si>
    <t>Seguridad</t>
  </si>
  <si>
    <t>Vallado modular</t>
  </si>
  <si>
    <t>Mostrar más</t>
  </si>
  <si>
    <t>Satech</t>
  </si>
  <si>
    <t>ImpactGuard System-H3120-S60-T30</t>
  </si>
  <si>
    <t>Absorción de impacto de hasta 2200 J Malla: 20 x 100 mm</t>
  </si>
  <si>
    <t>Panel</t>
  </si>
  <si>
    <t>Panel de protección perimetral contra altos impactos</t>
  </si>
  <si>
    <t>Framed Panel - W 300 - H 2960</t>
  </si>
  <si>
    <t>Absorción de impacto de hasta 2200 J Malla: 20 x 100 mm                              Dimensiones: 300 x 2960 mm</t>
  </si>
  <si>
    <t>Framed Panel - W 200 - H 2960</t>
  </si>
  <si>
    <t>Absorción de impacto de hasta 2200 J Malla: 20 x 100 mm                              Dimensiones: 200 x 2960 mm</t>
  </si>
  <si>
    <t>Framed Panel - W 700 - H 1480</t>
  </si>
  <si>
    <t>Absorción de impacto de hasta 2200 J Malla: 20 x 100 mm                              Dimensiones: 700 x 1480 mm</t>
  </si>
  <si>
    <t>Framed Panel - W 800 - H 1480</t>
  </si>
  <si>
    <t>Absorción de impacto de hasta 2200 J Malla: 20 x 100 mm                              Dimensiones: 800 x 1480 mm</t>
  </si>
  <si>
    <t>Framed Panel - W 1000 - H 1480</t>
  </si>
  <si>
    <t>Absorción de impacto de hasta 2200 J Malla: 20 x 100 mm                              Dimensiones: 1000 x 1480 mm</t>
  </si>
  <si>
    <t>Puerta</t>
  </si>
  <si>
    <t>Puerta sencilla para paso de personas, equipada con bisagras que guían el movimiento del panel.</t>
  </si>
  <si>
    <t>Single Leaf Door ImpactGuard-H3120-S60-T30</t>
  </si>
  <si>
    <t>Interlock</t>
  </si>
  <si>
    <t>Dispositivo conectado al sistema de control. Cuando está abierto, impide que la máquina funcione.</t>
  </si>
  <si>
    <t>Satech/Schmerzal</t>
  </si>
  <si>
    <t>AZM 415-02/02ZPK 24VAC/DC</t>
  </si>
  <si>
    <t>Retención regulable hasta 400 N</t>
  </si>
  <si>
    <t>Cortina óptica</t>
  </si>
  <si>
    <t>Cortina óptica de seguridad con detección de dedos y reinicio automático</t>
  </si>
  <si>
    <t>ReeR</t>
  </si>
  <si>
    <t>ADMIRAL AD 1651</t>
  </si>
  <si>
    <t>Nivel de seguridad: Tipo 4 - PL e        Resolución: 14 mm</t>
  </si>
  <si>
    <t>Interfaz de cortina óptica</t>
  </si>
  <si>
    <t>Interfaz de seguridad para cortinas fotoeléctricas con función de silenciamiento</t>
  </si>
  <si>
    <t>SR ONE M</t>
  </si>
  <si>
    <t>Nivel de seguridad: Tipo 4 - PL e         Salidas de relé: 2 NO (6A a 250 VCA)</t>
  </si>
  <si>
    <t xml:space="preserve">Seguridad </t>
  </si>
  <si>
    <t>Torre de señalización</t>
  </si>
  <si>
    <t>Torre de señalización preconfigurada en rojo/amarillo/verde.</t>
  </si>
  <si>
    <t>Werma</t>
  </si>
  <si>
    <t>KS72 Classic RM 24 VCA/CC GN/YE/RD</t>
  </si>
  <si>
    <t>Tensión de funcionamiento: 24V</t>
  </si>
  <si>
    <t>Parada de emergencia</t>
  </si>
  <si>
    <t>Pulsador de parada de emergencia serie 45</t>
  </si>
  <si>
    <t>EAO</t>
  </si>
  <si>
    <t>Serie 45-Ø 40 mm- 2NC</t>
  </si>
  <si>
    <t>Capacidad de conmutación: 500 V AC @ 10 A</t>
  </si>
  <si>
    <t>Smart-Box de parada de emergencia, Serie 84</t>
  </si>
  <si>
    <t>Serie 84-Ø 32 mm-IP67-M12</t>
  </si>
  <si>
    <t>Capacidad de conmutación: 250 V</t>
  </si>
  <si>
    <t>Protección de circuito</t>
  </si>
  <si>
    <t>Breaker termomagnético</t>
  </si>
  <si>
    <t>Para protección de circuito de potencia</t>
  </si>
  <si>
    <t>S203-K25</t>
  </si>
  <si>
    <t>Número de polos: 3P                          Corriente nominal: 25 A</t>
  </si>
  <si>
    <t>RCD</t>
  </si>
  <si>
    <t>Interruptor automático de corriente residual</t>
  </si>
  <si>
    <t>F204 B-40/0.3</t>
  </si>
  <si>
    <t>Número de polos: 4                  Tensión de dimensionamiento: 400V Corriente nominal (medida): 40A</t>
  </si>
  <si>
    <t>Mini-breaker 1P 1A</t>
  </si>
  <si>
    <t>Interruptor magnetotérmico</t>
  </si>
  <si>
    <t>S201-C1</t>
  </si>
  <si>
    <t>Poder de corte a 400 V: 10kA</t>
  </si>
  <si>
    <t>Gabinete eléctrico</t>
  </si>
  <si>
    <t>Spacial CRN con puerta ciega sin placa de montaje</t>
  </si>
  <si>
    <t>Schneider Electric</t>
  </si>
  <si>
    <t>NSYCRN75250</t>
  </si>
  <si>
    <t>700x500x200 mm                                 IP66</t>
  </si>
  <si>
    <t>Alimentación de circuito</t>
  </si>
  <si>
    <t>Fuente de alimentación DC</t>
  </si>
  <si>
    <t>Fuente de alimentación para componentes de seguridad y sensores</t>
  </si>
  <si>
    <t>CP-E 24/10.0</t>
  </si>
  <si>
    <t>Valor nominal tensión de salida:24V Valor nominal corriente de salida:10A</t>
  </si>
  <si>
    <t>Supervisión</t>
  </si>
  <si>
    <t>HMI</t>
  </si>
  <si>
    <t>Panel de control con pantalla táctil TFT de 4,3"</t>
  </si>
  <si>
    <t>CP620</t>
  </si>
  <si>
    <t>480 x 272 píxeles                       Licencia de ejecución PB610.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</si>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</sst>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aramond"/>
      <family val="2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Normal="100" workbookViewId="0">
      <selection activeCell="I41" sqref="I41"/>
    </sheetView>
  </sheetViews>
  <sheetFormatPr baseColWidth="10" defaultRowHeight="15.6" x14ac:dyDescent="0.3"/>
  <cols>
    <col min="1" max="1" width="5" bestFit="1" customWidth="1"/>
    <col min="2" max="2" width="22.44140625" bestFit="1" customWidth="1"/>
    <col min="3" max="3" width="24.77734375" bestFit="1" customWidth="1"/>
    <col min="4" max="4" width="33.77734375" customWidth="1"/>
    <col min="5" max="5" width="18.88671875" bestFit="1" customWidth="1"/>
    <col min="6" max="6" width="42.5546875" bestFit="1" customWidth="1"/>
    <col min="7" max="7" width="34.21875" customWidth="1"/>
    <col min="8" max="8" width="8.77734375" bestFit="1" customWidth="1"/>
    <col min="9" max="9" width="21" customWidth="1"/>
    <col min="10" max="10" width="25.5546875" bestFit="1" customWidth="1"/>
  </cols>
  <sheetData>
    <row r="1" spans="1:10" ht="16.2" customHeight="1" thickBo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31.2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0" ht="31.2" customHeight="1" x14ac:dyDescent="0.3">
      <c r="A3" s="5">
        <v>1</v>
      </c>
      <c r="B3" s="6" t="s">
        <v>11</v>
      </c>
      <c r="C3" s="6" t="s">
        <v>12</v>
      </c>
      <c r="D3" s="7" t="s">
        <v>13</v>
      </c>
      <c r="E3" s="6" t="s">
        <v>14</v>
      </c>
      <c r="F3" s="6" t="s">
        <v>15</v>
      </c>
      <c r="G3" s="7" t="s">
        <v>16</v>
      </c>
      <c r="H3" s="6">
        <v>1</v>
      </c>
      <c r="I3" s="6">
        <v>2800</v>
      </c>
      <c r="J3" s="8">
        <f>I3*H3</f>
        <v>2800</v>
      </c>
    </row>
    <row r="4" spans="1:10" ht="31.2" customHeight="1" x14ac:dyDescent="0.3">
      <c r="A4" s="5">
        <v>2</v>
      </c>
      <c r="B4" s="6" t="s">
        <v>11</v>
      </c>
      <c r="C4" s="6" t="s">
        <v>12</v>
      </c>
      <c r="D4" s="7" t="s">
        <v>17</v>
      </c>
      <c r="E4" s="6" t="s">
        <v>14</v>
      </c>
      <c r="F4" s="6" t="s">
        <v>18</v>
      </c>
      <c r="G4" s="7" t="s">
        <v>19</v>
      </c>
      <c r="H4" s="6">
        <v>1</v>
      </c>
      <c r="I4" s="6">
        <v>2000</v>
      </c>
      <c r="J4" s="8">
        <f t="shared" ref="J4:J38" si="0">I4*H4</f>
        <v>2000</v>
      </c>
    </row>
    <row r="5" spans="1:10" ht="31.2" customHeight="1" x14ac:dyDescent="0.3">
      <c r="A5" s="5">
        <v>3</v>
      </c>
      <c r="B5" s="6" t="s">
        <v>11</v>
      </c>
      <c r="C5" s="6" t="s">
        <v>20</v>
      </c>
      <c r="D5" s="7" t="s">
        <v>21</v>
      </c>
      <c r="E5" s="6" t="s">
        <v>14</v>
      </c>
      <c r="F5" s="6" t="s">
        <v>22</v>
      </c>
      <c r="G5" s="7" t="s">
        <v>23</v>
      </c>
      <c r="H5" s="6">
        <v>1</v>
      </c>
      <c r="I5" s="6">
        <v>18000</v>
      </c>
      <c r="J5" s="8">
        <f t="shared" si="0"/>
        <v>18000</v>
      </c>
    </row>
    <row r="6" spans="1:10" ht="31.2" customHeight="1" x14ac:dyDescent="0.3">
      <c r="A6" s="5">
        <v>4</v>
      </c>
      <c r="B6" s="6" t="s">
        <v>11</v>
      </c>
      <c r="C6" s="6" t="s">
        <v>24</v>
      </c>
      <c r="D6" s="7" t="s">
        <v>25</v>
      </c>
      <c r="E6" s="6" t="s">
        <v>26</v>
      </c>
      <c r="F6" s="6" t="s">
        <v>27</v>
      </c>
      <c r="G6" s="7" t="s">
        <v>28</v>
      </c>
      <c r="H6" s="6">
        <v>1</v>
      </c>
      <c r="I6" s="6">
        <v>1100</v>
      </c>
      <c r="J6" s="8">
        <f t="shared" si="0"/>
        <v>1100</v>
      </c>
    </row>
    <row r="7" spans="1:10" ht="31.2" customHeight="1" x14ac:dyDescent="0.3">
      <c r="A7" s="5">
        <v>5</v>
      </c>
      <c r="B7" s="6" t="s">
        <v>11</v>
      </c>
      <c r="C7" s="6" t="s">
        <v>29</v>
      </c>
      <c r="D7" s="7" t="s">
        <v>30</v>
      </c>
      <c r="E7" s="6" t="s">
        <v>31</v>
      </c>
      <c r="F7" s="6" t="s">
        <v>32</v>
      </c>
      <c r="G7" s="7" t="s">
        <v>33</v>
      </c>
      <c r="H7" s="6">
        <v>1</v>
      </c>
      <c r="I7" s="6">
        <v>5500</v>
      </c>
      <c r="J7" s="8">
        <f t="shared" si="0"/>
        <v>5500</v>
      </c>
    </row>
    <row r="8" spans="1:10" ht="31.2" customHeight="1" x14ac:dyDescent="0.3">
      <c r="A8" s="5">
        <v>6</v>
      </c>
      <c r="B8" s="6" t="s">
        <v>11</v>
      </c>
      <c r="C8" s="6" t="s">
        <v>29</v>
      </c>
      <c r="D8" s="7" t="s">
        <v>34</v>
      </c>
      <c r="E8" s="6" t="s">
        <v>31</v>
      </c>
      <c r="F8" s="6" t="s">
        <v>35</v>
      </c>
      <c r="G8" s="7" t="s">
        <v>36</v>
      </c>
      <c r="H8" s="6">
        <v>1</v>
      </c>
      <c r="I8" s="6">
        <v>7500</v>
      </c>
      <c r="J8" s="8">
        <f t="shared" si="0"/>
        <v>7500</v>
      </c>
    </row>
    <row r="9" spans="1:10" ht="31.2" customHeight="1" x14ac:dyDescent="0.3">
      <c r="A9" s="5">
        <v>7</v>
      </c>
      <c r="B9" s="6" t="s">
        <v>11</v>
      </c>
      <c r="C9" s="6" t="s">
        <v>37</v>
      </c>
      <c r="D9" s="7" t="s">
        <v>38</v>
      </c>
      <c r="E9" s="6" t="s">
        <v>39</v>
      </c>
      <c r="F9" s="6" t="s">
        <v>40</v>
      </c>
      <c r="G9" s="7" t="s">
        <v>41</v>
      </c>
      <c r="H9" s="6">
        <v>1</v>
      </c>
      <c r="I9" s="6">
        <v>450</v>
      </c>
      <c r="J9" s="8">
        <f t="shared" si="0"/>
        <v>450</v>
      </c>
    </row>
    <row r="10" spans="1:10" ht="31.2" customHeight="1" x14ac:dyDescent="0.3">
      <c r="A10" s="5">
        <v>8</v>
      </c>
      <c r="B10" s="6" t="s">
        <v>42</v>
      </c>
      <c r="C10" s="6" t="s">
        <v>43</v>
      </c>
      <c r="D10" s="7" t="s">
        <v>44</v>
      </c>
      <c r="E10" s="6" t="s">
        <v>39</v>
      </c>
      <c r="F10" s="6" t="s">
        <v>45</v>
      </c>
      <c r="G10" s="7" t="s">
        <v>46</v>
      </c>
      <c r="H10" s="6">
        <v>2</v>
      </c>
      <c r="I10" s="6">
        <v>1200</v>
      </c>
      <c r="J10" s="8">
        <f t="shared" si="0"/>
        <v>2400</v>
      </c>
    </row>
    <row r="11" spans="1:10" ht="31.2" customHeight="1" x14ac:dyDescent="0.3">
      <c r="A11" s="5">
        <v>9</v>
      </c>
      <c r="B11" s="6" t="s">
        <v>47</v>
      </c>
      <c r="C11" s="6" t="s">
        <v>48</v>
      </c>
      <c r="D11" s="7" t="s">
        <v>49</v>
      </c>
      <c r="E11" s="6" t="s">
        <v>39</v>
      </c>
      <c r="F11" s="6" t="s">
        <v>50</v>
      </c>
      <c r="G11" s="7" t="s">
        <v>51</v>
      </c>
      <c r="H11" s="6">
        <v>1</v>
      </c>
      <c r="I11" s="6">
        <v>9000</v>
      </c>
      <c r="J11" s="8">
        <f t="shared" si="0"/>
        <v>9000</v>
      </c>
    </row>
    <row r="12" spans="1:10" ht="31.2" customHeight="1" x14ac:dyDescent="0.3">
      <c r="A12" s="5">
        <v>10</v>
      </c>
      <c r="B12" s="6" t="s">
        <v>52</v>
      </c>
      <c r="C12" s="6" t="s">
        <v>53</v>
      </c>
      <c r="D12" s="7" t="s">
        <v>54</v>
      </c>
      <c r="E12" s="6" t="s">
        <v>55</v>
      </c>
      <c r="F12" s="6" t="s">
        <v>56</v>
      </c>
      <c r="G12" s="7" t="s">
        <v>57</v>
      </c>
      <c r="H12" s="6">
        <v>8</v>
      </c>
      <c r="I12" s="6">
        <v>220</v>
      </c>
      <c r="J12" s="8">
        <f t="shared" si="0"/>
        <v>1760</v>
      </c>
    </row>
    <row r="13" spans="1:10" ht="46.8" customHeight="1" x14ac:dyDescent="0.3">
      <c r="A13" s="5">
        <v>11</v>
      </c>
      <c r="B13" s="6" t="s">
        <v>52</v>
      </c>
      <c r="C13" s="6" t="s">
        <v>58</v>
      </c>
      <c r="D13" s="7" t="s">
        <v>59</v>
      </c>
      <c r="E13" s="6" t="s">
        <v>55</v>
      </c>
      <c r="F13" s="6" t="s">
        <v>60</v>
      </c>
      <c r="G13" s="7" t="s">
        <v>61</v>
      </c>
      <c r="H13" s="6">
        <v>8</v>
      </c>
      <c r="I13" s="6">
        <v>55</v>
      </c>
      <c r="J13" s="8">
        <f t="shared" si="0"/>
        <v>440</v>
      </c>
    </row>
    <row r="14" spans="1:10" ht="31.2" customHeight="1" x14ac:dyDescent="0.3">
      <c r="A14" s="5">
        <v>12</v>
      </c>
      <c r="B14" s="6" t="s">
        <v>52</v>
      </c>
      <c r="C14" s="6" t="s">
        <v>62</v>
      </c>
      <c r="D14" s="7" t="s">
        <v>63</v>
      </c>
      <c r="E14" s="6" t="s">
        <v>55</v>
      </c>
      <c r="F14" s="6" t="s">
        <v>64</v>
      </c>
      <c r="G14" s="7" t="s">
        <v>65</v>
      </c>
      <c r="H14" s="6">
        <v>1</v>
      </c>
      <c r="I14" s="6">
        <v>220</v>
      </c>
      <c r="J14" s="8">
        <f t="shared" si="0"/>
        <v>220</v>
      </c>
    </row>
    <row r="15" spans="1:10" ht="31.2" customHeight="1" x14ac:dyDescent="0.3">
      <c r="A15" s="5">
        <v>13</v>
      </c>
      <c r="B15" s="6" t="s">
        <v>52</v>
      </c>
      <c r="C15" s="6" t="s">
        <v>66</v>
      </c>
      <c r="D15" s="7" t="s">
        <v>67</v>
      </c>
      <c r="E15" s="6" t="s">
        <v>55</v>
      </c>
      <c r="F15" s="6" t="s">
        <v>68</v>
      </c>
      <c r="G15" s="7" t="s">
        <v>69</v>
      </c>
      <c r="H15" s="6">
        <v>8</v>
      </c>
      <c r="I15" s="6">
        <v>28</v>
      </c>
      <c r="J15" s="8">
        <f t="shared" si="0"/>
        <v>224</v>
      </c>
    </row>
    <row r="16" spans="1:10" ht="31.2" customHeight="1" x14ac:dyDescent="0.3">
      <c r="A16" s="5">
        <v>14</v>
      </c>
      <c r="B16" s="6" t="s">
        <v>52</v>
      </c>
      <c r="C16" s="6" t="s">
        <v>70</v>
      </c>
      <c r="D16" s="7" t="s">
        <v>71</v>
      </c>
      <c r="E16" s="6" t="s">
        <v>55</v>
      </c>
      <c r="F16" s="6" t="s">
        <v>72</v>
      </c>
      <c r="G16" s="7" t="s">
        <v>69</v>
      </c>
      <c r="H16" s="6">
        <v>4</v>
      </c>
      <c r="I16" s="6">
        <v>60</v>
      </c>
      <c r="J16" s="8">
        <f t="shared" si="0"/>
        <v>240</v>
      </c>
    </row>
    <row r="17" spans="1:10" ht="46.8" customHeight="1" x14ac:dyDescent="0.3">
      <c r="A17" s="5">
        <v>15</v>
      </c>
      <c r="B17" s="6" t="s">
        <v>52</v>
      </c>
      <c r="C17" s="6" t="s">
        <v>73</v>
      </c>
      <c r="D17" s="7" t="s">
        <v>74</v>
      </c>
      <c r="E17" s="6" t="s">
        <v>55</v>
      </c>
      <c r="F17" s="6" t="s">
        <v>75</v>
      </c>
      <c r="G17" s="7" t="s">
        <v>76</v>
      </c>
      <c r="H17" s="6">
        <v>1</v>
      </c>
      <c r="I17" s="6">
        <v>240</v>
      </c>
      <c r="J17" s="8">
        <f t="shared" si="0"/>
        <v>240</v>
      </c>
    </row>
    <row r="18" spans="1:10" ht="31.2" customHeight="1" x14ac:dyDescent="0.3">
      <c r="A18" s="5">
        <v>16</v>
      </c>
      <c r="B18" s="6" t="s">
        <v>77</v>
      </c>
      <c r="C18" s="6" t="s">
        <v>78</v>
      </c>
      <c r="D18" s="7" t="s">
        <v>79</v>
      </c>
      <c r="E18" s="6" t="s">
        <v>80</v>
      </c>
      <c r="F18" s="6" t="s">
        <v>81</v>
      </c>
      <c r="G18" s="7" t="s">
        <v>82</v>
      </c>
      <c r="H18" s="6">
        <v>8</v>
      </c>
      <c r="I18" s="6">
        <v>5500</v>
      </c>
      <c r="J18" s="8">
        <f t="shared" si="0"/>
        <v>44000</v>
      </c>
    </row>
    <row r="19" spans="1:10" ht="31.2" customHeight="1" x14ac:dyDescent="0.3">
      <c r="A19" s="5">
        <v>17</v>
      </c>
      <c r="B19" s="6" t="s">
        <v>83</v>
      </c>
      <c r="C19" s="6" t="s">
        <v>70</v>
      </c>
      <c r="D19" s="7" t="s">
        <v>84</v>
      </c>
      <c r="E19" s="6" t="s">
        <v>85</v>
      </c>
      <c r="F19" s="6" t="s">
        <v>86</v>
      </c>
      <c r="G19" s="7" t="s">
        <v>87</v>
      </c>
      <c r="H19" s="6">
        <v>3</v>
      </c>
      <c r="I19" s="6">
        <v>220</v>
      </c>
      <c r="J19" s="8">
        <f t="shared" si="0"/>
        <v>660</v>
      </c>
    </row>
    <row r="20" spans="1:10" ht="31.2" customHeight="1" x14ac:dyDescent="0.3">
      <c r="A20" s="5">
        <v>18</v>
      </c>
      <c r="B20" s="6" t="s">
        <v>88</v>
      </c>
      <c r="C20" s="6" t="s">
        <v>89</v>
      </c>
      <c r="D20" s="7" t="s">
        <v>90</v>
      </c>
      <c r="E20" s="6" t="s">
        <v>91</v>
      </c>
      <c r="F20" s="6" t="s">
        <v>92</v>
      </c>
      <c r="G20" s="7" t="s">
        <v>93</v>
      </c>
      <c r="H20" s="6">
        <v>6</v>
      </c>
      <c r="I20" s="6">
        <v>220</v>
      </c>
      <c r="J20" s="8">
        <f t="shared" si="0"/>
        <v>1320</v>
      </c>
    </row>
    <row r="21" spans="1:10" ht="46.8" customHeight="1" x14ac:dyDescent="0.3">
      <c r="A21" s="5">
        <v>19</v>
      </c>
      <c r="B21" s="6" t="s">
        <v>88</v>
      </c>
      <c r="C21" s="6" t="s">
        <v>94</v>
      </c>
      <c r="D21" s="7" t="s">
        <v>95</v>
      </c>
      <c r="E21" s="6" t="s">
        <v>91</v>
      </c>
      <c r="F21" s="6" t="s">
        <v>96</v>
      </c>
      <c r="G21" s="7" t="s">
        <v>97</v>
      </c>
      <c r="H21" s="6">
        <v>5</v>
      </c>
      <c r="I21" s="6">
        <v>420</v>
      </c>
      <c r="J21" s="8">
        <f t="shared" si="0"/>
        <v>2100</v>
      </c>
    </row>
    <row r="22" spans="1:10" ht="46.8" customHeight="1" x14ac:dyDescent="0.3">
      <c r="A22" s="5">
        <v>20</v>
      </c>
      <c r="B22" s="6" t="s">
        <v>88</v>
      </c>
      <c r="C22" s="6" t="s">
        <v>94</v>
      </c>
      <c r="D22" s="7" t="s">
        <v>95</v>
      </c>
      <c r="E22" s="6" t="s">
        <v>91</v>
      </c>
      <c r="F22" s="6" t="s">
        <v>98</v>
      </c>
      <c r="G22" s="7" t="s">
        <v>99</v>
      </c>
      <c r="H22" s="6">
        <v>1</v>
      </c>
      <c r="I22" s="6">
        <v>380</v>
      </c>
      <c r="J22" s="8">
        <f t="shared" si="0"/>
        <v>380</v>
      </c>
    </row>
    <row r="23" spans="1:10" ht="46.8" customHeight="1" x14ac:dyDescent="0.3">
      <c r="A23" s="5">
        <v>21</v>
      </c>
      <c r="B23" s="6" t="s">
        <v>88</v>
      </c>
      <c r="C23" s="6" t="s">
        <v>94</v>
      </c>
      <c r="D23" s="7" t="s">
        <v>95</v>
      </c>
      <c r="E23" s="6" t="s">
        <v>91</v>
      </c>
      <c r="F23" s="6" t="s">
        <v>100</v>
      </c>
      <c r="G23" s="7" t="s">
        <v>101</v>
      </c>
      <c r="H23" s="6">
        <v>1</v>
      </c>
      <c r="I23" s="6">
        <v>220</v>
      </c>
      <c r="J23" s="8">
        <f t="shared" si="0"/>
        <v>220</v>
      </c>
    </row>
    <row r="24" spans="1:10" ht="46.8" customHeight="1" x14ac:dyDescent="0.3">
      <c r="A24" s="5">
        <v>22</v>
      </c>
      <c r="B24" s="6" t="s">
        <v>88</v>
      </c>
      <c r="C24" s="6" t="s">
        <v>94</v>
      </c>
      <c r="D24" s="7" t="s">
        <v>95</v>
      </c>
      <c r="E24" s="6" t="s">
        <v>91</v>
      </c>
      <c r="F24" s="6" t="s">
        <v>102</v>
      </c>
      <c r="G24" s="7" t="s">
        <v>103</v>
      </c>
      <c r="H24" s="6">
        <v>4</v>
      </c>
      <c r="I24" s="6">
        <v>240</v>
      </c>
      <c r="J24" s="8">
        <f t="shared" si="0"/>
        <v>960</v>
      </c>
    </row>
    <row r="25" spans="1:10" ht="46.8" customHeight="1" x14ac:dyDescent="0.3">
      <c r="A25" s="5">
        <v>23</v>
      </c>
      <c r="B25" s="6" t="s">
        <v>88</v>
      </c>
      <c r="C25" s="6" t="s">
        <v>94</v>
      </c>
      <c r="D25" s="7" t="s">
        <v>95</v>
      </c>
      <c r="E25" s="6" t="s">
        <v>91</v>
      </c>
      <c r="F25" s="6" t="s">
        <v>104</v>
      </c>
      <c r="G25" s="7" t="s">
        <v>105</v>
      </c>
      <c r="H25" s="6">
        <v>1</v>
      </c>
      <c r="I25" s="6">
        <v>260</v>
      </c>
      <c r="J25" s="8">
        <f t="shared" si="0"/>
        <v>260</v>
      </c>
    </row>
    <row r="26" spans="1:10" ht="46.8" customHeight="1" x14ac:dyDescent="0.3">
      <c r="A26" s="5">
        <v>24</v>
      </c>
      <c r="B26" s="6" t="s">
        <v>88</v>
      </c>
      <c r="C26" s="6" t="s">
        <v>106</v>
      </c>
      <c r="D26" s="7" t="s">
        <v>107</v>
      </c>
      <c r="E26" s="6" t="s">
        <v>91</v>
      </c>
      <c r="F26" s="6" t="s">
        <v>108</v>
      </c>
      <c r="G26" s="7" t="s">
        <v>93</v>
      </c>
      <c r="H26" s="6">
        <v>1</v>
      </c>
      <c r="I26" s="6">
        <v>750</v>
      </c>
      <c r="J26" s="8">
        <f t="shared" si="0"/>
        <v>750</v>
      </c>
    </row>
    <row r="27" spans="1:10" ht="46.8" customHeight="1" x14ac:dyDescent="0.3">
      <c r="A27" s="5">
        <v>25</v>
      </c>
      <c r="B27" s="6" t="s">
        <v>88</v>
      </c>
      <c r="C27" s="6" t="s">
        <v>109</v>
      </c>
      <c r="D27" s="7" t="s">
        <v>110</v>
      </c>
      <c r="E27" s="6" t="s">
        <v>111</v>
      </c>
      <c r="F27" s="6" t="s">
        <v>112</v>
      </c>
      <c r="G27" s="7" t="s">
        <v>113</v>
      </c>
      <c r="H27" s="6">
        <v>1</v>
      </c>
      <c r="I27" s="6">
        <v>320</v>
      </c>
      <c r="J27" s="8">
        <f t="shared" si="0"/>
        <v>320</v>
      </c>
    </row>
    <row r="28" spans="1:10" ht="46.8" customHeight="1" x14ac:dyDescent="0.3">
      <c r="A28" s="5">
        <v>26</v>
      </c>
      <c r="B28" s="6" t="s">
        <v>88</v>
      </c>
      <c r="C28" s="6" t="s">
        <v>114</v>
      </c>
      <c r="D28" s="7" t="s">
        <v>115</v>
      </c>
      <c r="E28" s="6" t="s">
        <v>116</v>
      </c>
      <c r="F28" s="6" t="s">
        <v>117</v>
      </c>
      <c r="G28" s="7" t="s">
        <v>118</v>
      </c>
      <c r="H28" s="6">
        <v>2</v>
      </c>
      <c r="I28" s="6">
        <v>1100</v>
      </c>
      <c r="J28" s="8">
        <f t="shared" si="0"/>
        <v>2200</v>
      </c>
    </row>
    <row r="29" spans="1:10" ht="46.8" customHeight="1" x14ac:dyDescent="0.3">
      <c r="A29" s="5">
        <v>27</v>
      </c>
      <c r="B29" s="6" t="s">
        <v>88</v>
      </c>
      <c r="C29" s="6" t="s">
        <v>119</v>
      </c>
      <c r="D29" s="7" t="s">
        <v>120</v>
      </c>
      <c r="E29" s="6" t="s">
        <v>116</v>
      </c>
      <c r="F29" s="6" t="s">
        <v>121</v>
      </c>
      <c r="G29" s="7" t="s">
        <v>122</v>
      </c>
      <c r="H29" s="6">
        <v>2</v>
      </c>
      <c r="I29" s="6">
        <v>380</v>
      </c>
      <c r="J29" s="8">
        <f t="shared" si="0"/>
        <v>760</v>
      </c>
    </row>
    <row r="30" spans="1:10" ht="31.2" customHeight="1" x14ac:dyDescent="0.3">
      <c r="A30" s="5">
        <v>28</v>
      </c>
      <c r="B30" s="6" t="s">
        <v>123</v>
      </c>
      <c r="C30" s="6" t="s">
        <v>124</v>
      </c>
      <c r="D30" s="7" t="s">
        <v>125</v>
      </c>
      <c r="E30" s="6" t="s">
        <v>126</v>
      </c>
      <c r="F30" s="6" t="s">
        <v>127</v>
      </c>
      <c r="G30" s="7" t="s">
        <v>128</v>
      </c>
      <c r="H30" s="6">
        <v>2</v>
      </c>
      <c r="I30" s="15">
        <v>210</v>
      </c>
      <c r="J30" s="8">
        <f t="shared" si="0"/>
        <v>420</v>
      </c>
    </row>
    <row r="31" spans="1:10" ht="31.2" customHeight="1" x14ac:dyDescent="0.3">
      <c r="A31" s="5">
        <v>29</v>
      </c>
      <c r="B31" s="6" t="s">
        <v>88</v>
      </c>
      <c r="C31" s="6" t="s">
        <v>129</v>
      </c>
      <c r="D31" s="7" t="s">
        <v>130</v>
      </c>
      <c r="E31" s="6" t="s">
        <v>131</v>
      </c>
      <c r="F31" s="6" t="s">
        <v>132</v>
      </c>
      <c r="G31" s="7" t="s">
        <v>133</v>
      </c>
      <c r="H31" s="6">
        <v>1</v>
      </c>
      <c r="I31" s="15">
        <v>35</v>
      </c>
      <c r="J31" s="8">
        <f t="shared" si="0"/>
        <v>35</v>
      </c>
    </row>
    <row r="32" spans="1:10" ht="31.2" customHeight="1" x14ac:dyDescent="0.3">
      <c r="A32" s="5">
        <v>30</v>
      </c>
      <c r="B32" s="6" t="s">
        <v>88</v>
      </c>
      <c r="C32" s="6" t="s">
        <v>129</v>
      </c>
      <c r="D32" s="7" t="s">
        <v>134</v>
      </c>
      <c r="E32" s="6" t="s">
        <v>131</v>
      </c>
      <c r="F32" s="6" t="s">
        <v>135</v>
      </c>
      <c r="G32" s="7" t="s">
        <v>136</v>
      </c>
      <c r="H32" s="6">
        <v>1</v>
      </c>
      <c r="I32" s="15">
        <v>70</v>
      </c>
      <c r="J32" s="8">
        <f t="shared" si="0"/>
        <v>70</v>
      </c>
    </row>
    <row r="33" spans="1:10" ht="31.2" customHeight="1" x14ac:dyDescent="0.3">
      <c r="A33" s="5">
        <v>31</v>
      </c>
      <c r="B33" s="6" t="s">
        <v>137</v>
      </c>
      <c r="C33" s="6" t="s">
        <v>138</v>
      </c>
      <c r="D33" s="7" t="s">
        <v>139</v>
      </c>
      <c r="E33" s="6" t="s">
        <v>14</v>
      </c>
      <c r="F33" s="16" t="s">
        <v>140</v>
      </c>
      <c r="G33" s="7" t="s">
        <v>141</v>
      </c>
      <c r="H33" s="6">
        <v>1</v>
      </c>
      <c r="I33" s="15">
        <v>70</v>
      </c>
      <c r="J33" s="8">
        <f t="shared" si="0"/>
        <v>70</v>
      </c>
    </row>
    <row r="34" spans="1:10" ht="46.8" customHeight="1" x14ac:dyDescent="0.3">
      <c r="A34" s="5">
        <v>32</v>
      </c>
      <c r="B34" s="6" t="s">
        <v>137</v>
      </c>
      <c r="C34" s="6" t="s">
        <v>142</v>
      </c>
      <c r="D34" s="7" t="s">
        <v>143</v>
      </c>
      <c r="E34" s="6" t="s">
        <v>14</v>
      </c>
      <c r="F34" s="6" t="s">
        <v>144</v>
      </c>
      <c r="G34" s="7" t="s">
        <v>145</v>
      </c>
      <c r="H34" s="6">
        <v>1</v>
      </c>
      <c r="I34" s="15">
        <v>350</v>
      </c>
      <c r="J34" s="8">
        <f t="shared" si="0"/>
        <v>350</v>
      </c>
    </row>
    <row r="35" spans="1:10" x14ac:dyDescent="0.3">
      <c r="A35" s="5">
        <v>33</v>
      </c>
      <c r="B35" s="6" t="s">
        <v>137</v>
      </c>
      <c r="C35" s="6" t="s">
        <v>146</v>
      </c>
      <c r="D35" s="7" t="s">
        <v>147</v>
      </c>
      <c r="E35" s="6" t="s">
        <v>14</v>
      </c>
      <c r="F35" s="6" t="s">
        <v>148</v>
      </c>
      <c r="G35" s="7" t="s">
        <v>149</v>
      </c>
      <c r="H35" s="6">
        <v>8</v>
      </c>
      <c r="I35" s="15">
        <v>18</v>
      </c>
      <c r="J35" s="8">
        <f t="shared" si="0"/>
        <v>144</v>
      </c>
    </row>
    <row r="36" spans="1:10" ht="31.2" customHeight="1" x14ac:dyDescent="0.3">
      <c r="A36" s="5">
        <v>34</v>
      </c>
      <c r="B36" s="6" t="s">
        <v>137</v>
      </c>
      <c r="C36" s="6" t="s">
        <v>150</v>
      </c>
      <c r="D36" s="7" t="s">
        <v>151</v>
      </c>
      <c r="E36" s="6" t="s">
        <v>152</v>
      </c>
      <c r="F36" s="6" t="s">
        <v>153</v>
      </c>
      <c r="G36" s="7" t="s">
        <v>154</v>
      </c>
      <c r="H36" s="6">
        <v>1</v>
      </c>
      <c r="I36" s="15">
        <v>260</v>
      </c>
      <c r="J36" s="8">
        <f t="shared" si="0"/>
        <v>260</v>
      </c>
    </row>
    <row r="37" spans="1:10" ht="31.2" customHeight="1" x14ac:dyDescent="0.3">
      <c r="A37" s="5">
        <v>35</v>
      </c>
      <c r="B37" s="6" t="s">
        <v>155</v>
      </c>
      <c r="C37" s="6" t="s">
        <v>156</v>
      </c>
      <c r="D37" s="7" t="s">
        <v>157</v>
      </c>
      <c r="E37" s="6" t="s">
        <v>14</v>
      </c>
      <c r="F37" s="6" t="s">
        <v>158</v>
      </c>
      <c r="G37" s="7" t="s">
        <v>159</v>
      </c>
      <c r="H37" s="6">
        <v>1</v>
      </c>
      <c r="I37" s="15">
        <v>190</v>
      </c>
      <c r="J37" s="8">
        <f t="shared" si="0"/>
        <v>190</v>
      </c>
    </row>
    <row r="38" spans="1:10" ht="31.8" customHeight="1" thickBot="1" x14ac:dyDescent="0.35">
      <c r="A38" s="5">
        <v>36</v>
      </c>
      <c r="B38" s="9" t="s">
        <v>160</v>
      </c>
      <c r="C38" s="9" t="s">
        <v>161</v>
      </c>
      <c r="D38" s="10" t="s">
        <v>162</v>
      </c>
      <c r="E38" s="9" t="s">
        <v>14</v>
      </c>
      <c r="F38" s="9" t="s">
        <v>163</v>
      </c>
      <c r="G38" s="11" t="s">
        <v>164</v>
      </c>
      <c r="H38" s="9">
        <v>1</v>
      </c>
      <c r="I38" s="9">
        <v>650</v>
      </c>
      <c r="J38" s="8">
        <f t="shared" si="0"/>
        <v>650</v>
      </c>
    </row>
    <row r="39" spans="1:10" ht="16.2" customHeight="1" thickBot="1" x14ac:dyDescent="0.35">
      <c r="G39" s="12"/>
      <c r="I39" s="13" t="s">
        <v>165</v>
      </c>
      <c r="J39" s="14">
        <f>SUM(J3:J38)</f>
        <v>107993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Quenan Pozo</dc:creator>
  <cp:lastModifiedBy>Andres Felipe Quenan Pozo</cp:lastModifiedBy>
  <dcterms:created xsi:type="dcterms:W3CDTF">2026-07-08T16:46:19Z</dcterms:created>
  <dcterms:modified xsi:type="dcterms:W3CDTF">2026-07-09T04:06:14Z</dcterms:modified>
</cp:coreProperties>
</file>